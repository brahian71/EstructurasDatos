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2" activeTab="6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 Peso - escritorio" sheetId="2" state="visible" r:id="rId2"/>
    <sheet xmlns:r="http://schemas.openxmlformats.org/officeDocument/2006/relationships" name="1 Peso - pila" sheetId="3" state="visible" r:id="rId3"/>
    <sheet xmlns:r="http://schemas.openxmlformats.org/officeDocument/2006/relationships" name="2 Contar - escritorio" sheetId="4" state="visible" r:id="rId4"/>
    <sheet xmlns:r="http://schemas.openxmlformats.org/officeDocument/2006/relationships" name="2 Contar - pila" sheetId="5" state="visible" r:id="rId5"/>
    <sheet xmlns:r="http://schemas.openxmlformats.org/officeDocument/2006/relationships" name="3 DyV - escritorio" sheetId="6" state="visible" r:id="rId6"/>
    <sheet xmlns:r="http://schemas.openxmlformats.org/officeDocument/2006/relationships" name="3 DyV - pil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color rgb="FF0000FF"/>
      <sz val="10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/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6" borderId="8" applyAlignment="1" pivotButton="0" quotePrefix="0" xfId="0">
      <alignment horizontal="center" vertical="center" wrapText="1"/>
    </xf>
    <xf numFmtId="0" fontId="3" fillId="0" borderId="7" pivotButton="0" quotePrefix="0" xfId="0"/>
    <xf numFmtId="0" fontId="3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2" fillId="7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0" borderId="9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164" fontId="5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164" fontId="3" fillId="7" borderId="8" applyAlignment="1" pivotButton="0" quotePrefix="0" xfId="0">
      <alignment horizontal="center" vertical="center" wrapText="1"/>
    </xf>
    <xf numFmtId="164" fontId="2" fillId="7" borderId="8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2" fillId="6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</colOff>
      <row>2</row>
      <rowOff>0</rowOff>
    </from>
    <to>
      <col>1</col>
      <colOff>6301741</colOff>
      <row>12</row>
      <rowOff>247009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365760"/>
          <a:ext cx="6301740" cy="25711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2</row>
      <rowOff>0</rowOff>
    </from>
    <to>
      <col>0</col>
      <colOff>6045611</colOff>
      <row>12</row>
      <rowOff>91440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365760"/>
          <a:ext cx="6045610" cy="2072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</row>
      <rowOff>0</rowOff>
    </from>
    <to>
      <col>0</col>
      <colOff>5430595</colOff>
      <row>14</row>
      <rowOff>266700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65760"/>
          <a:ext cx="5430595" cy="3002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C18" sqref="A18:C18"/>
    </sheetView>
  </sheetViews>
  <sheetFormatPr baseColWidth="10" defaultColWidth="8.88671875" defaultRowHeight="14.4"/>
  <cols>
    <col width="30" customWidth="1" min="2" max="2"/>
    <col width="95" customWidth="1" min="3" max="3"/>
  </cols>
  <sheetData>
    <row r="2" ht="50.4" customHeight="1">
      <c r="B2" s="1" t="inlineStr">
        <is>
          <t>Parcial 1 - QuindioExpress: pilas de llamadas (Parte C.1)</t>
        </is>
      </c>
    </row>
    <row r="4">
      <c r="B4" s="2" t="inlineStr">
        <is>
          <t>Hoja</t>
        </is>
      </c>
      <c r="C4" s="2" t="inlineStr">
        <is>
          <t>Contenido</t>
        </is>
      </c>
    </row>
    <row r="5" ht="26.4" customHeight="1">
      <c r="B5" s="3" t="inlineStr">
        <is>
          <t>1 Peso - escritorio</t>
        </is>
      </c>
      <c r="C5" s="3" t="inlineStr">
        <is>
          <t>pesoTotalPorMunicipio: una fila por llamada, una columna por linea de codigo. Ejemplo del enunciado (Armenia, esperado 14.0 kg).</t>
        </is>
      </c>
    </row>
    <row r="6">
      <c r="B6" s="3" t="inlineStr">
        <is>
          <t>1 Peso - pila</t>
        </is>
      </c>
      <c r="C6" s="3" t="inlineStr">
        <is>
          <t>Pila de llamadas de pesoTotalPorMunicipio: una columna por instante, main en la base.</t>
        </is>
      </c>
    </row>
    <row r="7">
      <c r="B7" s="3" t="inlineStr">
        <is>
          <t>2 Contar - escritorio</t>
        </is>
      </c>
      <c r="C7" s="3" t="inlineStr">
        <is>
          <t>contarPrioridadMinima: prioridades 5, 2, 4, 1, 5 con minima 4 (esperado 3). Subconjunto del ejemplo del enunciado.</t>
        </is>
      </c>
    </row>
    <row r="8">
      <c r="B8" s="3" t="inlineStr">
        <is>
          <t>2 Contar - pila</t>
        </is>
      </c>
      <c r="C8" s="3" t="inlineStr">
        <is>
          <t>Pila de llamadas de contarPrioridadMinima.</t>
        </is>
      </c>
    </row>
    <row r="9">
      <c r="B9" s="3" t="inlineStr">
        <is>
          <t>3 DyV - escritorio</t>
        </is>
      </c>
      <c r="C9" s="3" t="inlineStr">
        <is>
          <t>mayorPeso por divide y venceras: pesos 4.5, 12.0, 3.2, 18.7 (esperado 18.7). Subconjunto del ejemplo del enunciado.</t>
        </is>
      </c>
    </row>
    <row r="10">
      <c r="B10" s="3" t="inlineStr">
        <is>
          <t>3 DyV - pila</t>
        </is>
      </c>
      <c r="C10" s="3" t="inlineStr">
        <is>
          <t>Pila de llamadas de mayorPeso: crece y decrece varias veces, profundidad maxima 3 + main.</t>
        </is>
      </c>
    </row>
    <row r="13">
      <c r="B13" s="2" t="inlineStr">
        <is>
          <t>Convenciones</t>
        </is>
      </c>
      <c r="C13" s="2" t="n"/>
    </row>
    <row r="14" ht="26.4" customHeight="1">
      <c r="B14" s="4" t="inlineStr">
        <is>
          <t>Texto azul</t>
        </is>
      </c>
      <c r="C14" s="3" t="inlineStr">
        <is>
          <t>Datos de entrada (pesos, destinos, prioridades). Se pueden cambiar en las hojas de escritorio: aporte y retorno se recalculan solos.</t>
        </is>
      </c>
    </row>
    <row r="15">
      <c r="B15" s="5" t="inlineStr">
        <is>
          <t>Fondo verde</t>
        </is>
      </c>
      <c r="C15" s="3" t="inlineStr">
        <is>
          <t>Caso base.</t>
        </is>
      </c>
    </row>
    <row r="16">
      <c r="B16" s="6" t="inlineStr">
        <is>
          <t>Fondo amarillo</t>
        </is>
      </c>
      <c r="C16" s="3" t="inlineStr">
        <is>
          <t>Marco que esta retornando en ese instante (en la columna siguiente ya salio de la pila).</t>
        </is>
      </c>
    </row>
    <row r="17">
      <c r="B17" s="7" t="inlineStr">
        <is>
          <t>Fondo gris</t>
        </is>
      </c>
      <c r="C17" s="3" t="inlineStr">
        <is>
          <t>main, siempre en la base de la pila.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8"/>
  <sheetViews>
    <sheetView topLeftCell="B1" workbookViewId="0">
      <selection activeCell="B15" sqref="B15"/>
    </sheetView>
  </sheetViews>
  <sheetFormatPr baseColWidth="10" defaultColWidth="8.88671875" defaultRowHeight="14.4"/>
  <cols>
    <col hidden="1" width="8.88671875" customWidth="1" min="1" max="1"/>
    <col width="94.21875" customWidth="1" min="2" max="2"/>
    <col width="13" customWidth="1" min="3" max="3"/>
    <col width="26" customWidth="1" min="4" max="4"/>
    <col width="13" customWidth="1" min="5" max="5"/>
    <col width="14" customWidth="1" min="6" max="6"/>
    <col width="13" customWidth="1" min="7" max="7"/>
    <col width="18" customWidth="1" min="8" max="8"/>
    <col width="24" customWidth="1" min="9" max="9"/>
    <col width="30" customWidth="1" min="10" max="10"/>
    <col width="20" customWidth="1" min="11" max="11"/>
  </cols>
  <sheetData>
    <row r="1">
      <c r="B1" t="inlineStr">
        <is>
          <t>pesoTotalPorMunicipio - prueba de escritorio</t>
        </is>
      </c>
    </row>
    <row r="3">
      <c r="C3" s="23" t="inlineStr">
        <is>
          <t>Datos (lista paquetes)</t>
        </is>
      </c>
      <c r="D3" s="24" t="n"/>
      <c r="E3" s="24" t="n"/>
      <c r="F3" s="25" t="n"/>
    </row>
    <row r="4">
      <c r="C4" s="23" t="inlineStr">
        <is>
          <t>indice</t>
        </is>
      </c>
      <c r="D4" s="23" t="inlineStr">
        <is>
          <t>codigo</t>
        </is>
      </c>
      <c r="E4" s="23" t="inlineStr">
        <is>
          <t>destino</t>
        </is>
      </c>
      <c r="F4" s="23" t="inlineStr">
        <is>
          <t>peso (kg)</t>
        </is>
      </c>
      <c r="H4" s="23" t="inlineStr">
        <is>
          <t>municipio</t>
        </is>
      </c>
      <c r="I4" s="23" t="inlineStr">
        <is>
          <t>paquetes.size()</t>
        </is>
      </c>
    </row>
    <row r="5">
      <c r="C5" s="9" t="n">
        <v>0</v>
      </c>
      <c r="D5" s="10" t="inlineStr">
        <is>
          <t>PQ101</t>
        </is>
      </c>
      <c r="E5" s="10" t="inlineStr">
        <is>
          <t>Armenia</t>
        </is>
      </c>
      <c r="F5" s="11" t="n">
        <v>4.5</v>
      </c>
      <c r="H5" s="10" t="inlineStr">
        <is>
          <t>Armenia</t>
        </is>
      </c>
      <c r="I5" s="9">
        <f>COUNTA(D5:D8)</f>
        <v/>
      </c>
    </row>
    <row r="6">
      <c r="C6" s="9" t="n">
        <v>1</v>
      </c>
      <c r="D6" s="10" t="inlineStr">
        <is>
          <t>PQ203</t>
        </is>
      </c>
      <c r="E6" s="10" t="inlineStr">
        <is>
          <t>Salento</t>
        </is>
      </c>
      <c r="F6" s="11" t="n">
        <v>3</v>
      </c>
    </row>
    <row r="7">
      <c r="C7" s="9" t="n">
        <v>2</v>
      </c>
      <c r="D7" s="10" t="inlineStr">
        <is>
          <t>PQ415</t>
        </is>
      </c>
      <c r="E7" s="10" t="inlineStr">
        <is>
          <t>Armenia</t>
        </is>
      </c>
      <c r="F7" s="11" t="n">
        <v>7.2</v>
      </c>
    </row>
    <row r="8">
      <c r="C8" s="9" t="n">
        <v>3</v>
      </c>
      <c r="D8" s="10" t="inlineStr">
        <is>
          <t>PQ730</t>
        </is>
      </c>
      <c r="E8" s="10" t="inlineStr">
        <is>
          <t>Armenia</t>
        </is>
      </c>
      <c r="F8" s="11" t="n">
        <v>2.3</v>
      </c>
    </row>
    <row r="11" ht="22.8" customHeight="1"/>
    <row r="12" ht="45" customHeight="1">
      <c r="C12" s="23" t="inlineStr">
        <is>
          <t>Ej</t>
        </is>
      </c>
      <c r="D12" s="23" t="inlineStr">
        <is>
          <t>llamada</t>
        </is>
      </c>
      <c r="E12" s="23" t="inlineStr">
        <is>
          <t>int indice</t>
        </is>
      </c>
      <c r="F12" s="23" t="inlineStr">
        <is>
          <t>indice == size</t>
        </is>
      </c>
      <c r="G12" s="23" t="inlineStr">
        <is>
          <t>return 0.0</t>
        </is>
      </c>
      <c r="H12" s="23" t="inlineStr">
        <is>
          <t>actual = get(indice)</t>
        </is>
      </c>
      <c r="I12" s="23" t="inlineStr">
        <is>
          <t>aporte = destino.equals(municipio) ? peso : 0.0</t>
        </is>
      </c>
      <c r="J12" s="23" t="inlineStr">
        <is>
          <t>llamada recursiva pendiente</t>
        </is>
      </c>
      <c r="K12" s="23" t="inlineStr">
        <is>
          <t>return aporte + resto</t>
        </is>
      </c>
    </row>
    <row r="13" ht="26.4" customHeight="1">
      <c r="C13" s="9" t="n">
        <v>1</v>
      </c>
      <c r="D13" s="9" t="inlineStr">
        <is>
          <t>pesoTotal(paquetes, "Armenia", 0)</t>
        </is>
      </c>
      <c r="E13" s="9" t="n">
        <v>0</v>
      </c>
      <c r="F13" s="9">
        <f>IF(E13=$I$5,"0==4? V","0==4? F")</f>
        <v/>
      </c>
      <c r="G13" s="9" t="inlineStr">
        <is>
          <t>-</t>
        </is>
      </c>
      <c r="H13" s="9">
        <f>D5&amp;" "&amp;E5&amp;" "&amp;TEXT(F5,"0.0")</f>
        <v/>
      </c>
      <c r="I13" s="12">
        <f>IF(E5=$H$5,F5,0)</f>
        <v/>
      </c>
      <c r="J13" s="9" t="inlineStr">
        <is>
          <t>pesoTotal(paquetes, "Armenia", 1)</t>
        </is>
      </c>
      <c r="K13" s="13">
        <f>I13+K14</f>
        <v/>
      </c>
    </row>
    <row r="14" ht="26.4" customHeight="1">
      <c r="C14" s="9" t="n">
        <v>2</v>
      </c>
      <c r="D14" s="9" t="inlineStr">
        <is>
          <t>pesoTotal(paquetes, "Armenia", 1)</t>
        </is>
      </c>
      <c r="E14" s="9" t="n">
        <v>1</v>
      </c>
      <c r="F14" s="9">
        <f>IF(E14=$I$5,"1==4? V","1==4? F")</f>
        <v/>
      </c>
      <c r="G14" s="9" t="inlineStr">
        <is>
          <t>-</t>
        </is>
      </c>
      <c r="H14" s="9">
        <f>D6&amp;" "&amp;E6&amp;" "&amp;TEXT(F6,"0.0")</f>
        <v/>
      </c>
      <c r="I14" s="12">
        <f>IF(E6=$H$5,F6,0)</f>
        <v/>
      </c>
      <c r="J14" s="9" t="inlineStr">
        <is>
          <t>pesoTotal(paquetes, "Armenia", 2)</t>
        </is>
      </c>
      <c r="K14" s="13">
        <f>I14+K15</f>
        <v/>
      </c>
    </row>
    <row r="15" ht="26.4" customHeight="1">
      <c r="C15" s="9" t="n">
        <v>3</v>
      </c>
      <c r="D15" s="9" t="inlineStr">
        <is>
          <t>pesoTotal(paquetes, "Armenia", 2)</t>
        </is>
      </c>
      <c r="E15" s="9" t="n">
        <v>2</v>
      </c>
      <c r="F15" s="9">
        <f>IF(E15=$I$5,"2==4? V","2==4? F")</f>
        <v/>
      </c>
      <c r="G15" s="9" t="inlineStr">
        <is>
          <t>-</t>
        </is>
      </c>
      <c r="H15" s="9">
        <f>D7&amp;" "&amp;E7&amp;" "&amp;TEXT(F7,"0.0")</f>
        <v/>
      </c>
      <c r="I15" s="12">
        <f>IF(E7=$H$5,F7,0)</f>
        <v/>
      </c>
      <c r="J15" s="9" t="inlineStr">
        <is>
          <t>pesoTotal(paquetes, "Armenia", 3)</t>
        </is>
      </c>
      <c r="K15" s="13">
        <f>I15+K16</f>
        <v/>
      </c>
    </row>
    <row r="16" ht="26.4" customHeight="1">
      <c r="C16" s="9" t="n">
        <v>4</v>
      </c>
      <c r="D16" s="9" t="inlineStr">
        <is>
          <t>pesoTotal(paquetes, "Armenia", 3)</t>
        </is>
      </c>
      <c r="E16" s="9" t="n">
        <v>3</v>
      </c>
      <c r="F16" s="9">
        <f>IF(E16=$I$5,"3==4? V","3==4? F")</f>
        <v/>
      </c>
      <c r="G16" s="9" t="inlineStr">
        <is>
          <t>-</t>
        </is>
      </c>
      <c r="H16" s="9">
        <f>D8&amp;" "&amp;E8&amp;" "&amp;TEXT(F8,"0.0")</f>
        <v/>
      </c>
      <c r="I16" s="12">
        <f>IF(E8=$H$5,F8,0)</f>
        <v/>
      </c>
      <c r="J16" s="9" t="inlineStr">
        <is>
          <t>pesoTotal(paquetes, "Armenia", 4)</t>
        </is>
      </c>
      <c r="K16" s="13">
        <f>I16+K17</f>
        <v/>
      </c>
    </row>
    <row r="17" ht="26.4" customHeight="1">
      <c r="C17" s="14" t="n">
        <v>5</v>
      </c>
      <c r="D17" s="14" t="inlineStr">
        <is>
          <t>pesoTotal(paquetes, "Armenia", 4)</t>
        </is>
      </c>
      <c r="E17" s="14" t="n">
        <v>4</v>
      </c>
      <c r="F17" s="14">
        <f>IF(E17=$I$5,"4==4? V","4==4? F")</f>
        <v/>
      </c>
      <c r="G17" s="15" t="n">
        <v>0</v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6">
        <f>G17</f>
        <v/>
      </c>
    </row>
    <row r="18">
      <c r="J18" s="23" t="inlineStr">
        <is>
          <t>Resultado (primera llamada)</t>
        </is>
      </c>
      <c r="K18" s="17">
        <f>K13</f>
        <v/>
      </c>
    </row>
  </sheetData>
  <mergeCells count="1">
    <mergeCell ref="C3:F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M9"/>
  <sheetViews>
    <sheetView topLeftCell="A4" workbookViewId="0">
      <selection activeCell="A4" sqref="A4"/>
    </sheetView>
  </sheetViews>
  <sheetFormatPr baseColWidth="10" defaultColWidth="8.88671875" defaultRowHeight="14.4"/>
  <cols>
    <col width="27" customWidth="1" min="2" max="13"/>
  </cols>
  <sheetData>
    <row r="3" ht="30" customHeight="1">
      <c r="B3" s="23" t="inlineStr">
        <is>
          <t>Paso 0
main</t>
        </is>
      </c>
      <c r="C3" s="23" t="inlineStr">
        <is>
          <t>Paso 1
llama pesoTotal(0)</t>
        </is>
      </c>
      <c r="D3" s="23" t="inlineStr">
        <is>
          <t>Paso 2
llama pesoTotal(1)</t>
        </is>
      </c>
      <c r="E3" s="23" t="inlineStr">
        <is>
          <t>Paso 3
llama pesoTotal(2)</t>
        </is>
      </c>
      <c r="F3" s="23" t="inlineStr">
        <is>
          <t>Paso 4
llama pesoTotal(3)</t>
        </is>
      </c>
      <c r="G3" s="23" t="inlineStr">
        <is>
          <t>Paso 5
llama pesoTotal(4)</t>
        </is>
      </c>
      <c r="H3" s="23" t="inlineStr">
        <is>
          <t>Paso 6
retorna pesoTotal(4)</t>
        </is>
      </c>
      <c r="I3" s="23" t="inlineStr">
        <is>
          <t>Paso 7
retorna pesoTotal(3)</t>
        </is>
      </c>
      <c r="J3" s="23" t="inlineStr">
        <is>
          <t>Paso 8
retorna pesoTotal(2)</t>
        </is>
      </c>
      <c r="K3" s="23" t="inlineStr">
        <is>
          <t>Paso 9
retorna pesoTotal(1)</t>
        </is>
      </c>
      <c r="L3" s="23" t="inlineStr">
        <is>
          <t>Paso 10
retorna pesoTotal(0)</t>
        </is>
      </c>
      <c r="M3" s="23" t="inlineStr">
        <is>
          <t>Paso 11
fin</t>
        </is>
      </c>
    </row>
    <row r="4" ht="61.95" customHeight="1">
      <c r="B4" s="18" t="n"/>
      <c r="C4" s="18" t="n"/>
      <c r="D4" s="18" t="n"/>
      <c r="E4" s="18" t="n"/>
      <c r="F4" s="18" t="n"/>
      <c r="G4" s="14" t="inlineStr">
        <is>
          <t>pesoTotal(…, 4)
indice == size
CASO BASE</t>
        </is>
      </c>
      <c r="H4" s="14" t="inlineStr">
        <is>
          <t>pesoTotal(…, 4)
CASO BASE
return 0.0</t>
        </is>
      </c>
      <c r="I4" s="18" t="n"/>
      <c r="J4" s="18" t="n"/>
      <c r="K4" s="18" t="n"/>
      <c r="L4" s="18" t="n"/>
      <c r="M4" s="18" t="n"/>
    </row>
    <row r="5" ht="61.95" customHeight="1">
      <c r="B5" s="18" t="n"/>
      <c r="C5" s="18" t="n"/>
      <c r="D5" s="18" t="n"/>
      <c r="E5" s="18" t="n"/>
      <c r="F5" s="9" t="inlineStr">
        <is>
          <t>pesoTotal(…, 3)
PQ730 Armenia 2.3
return 2.3 + pesoTotal(…, 4)</t>
        </is>
      </c>
      <c r="G5" s="9" t="inlineStr">
        <is>
          <t>pesoTotal(…, 3)
PQ730 Armenia 2.3
return 2.3 + pesoTotal(…, 4)</t>
        </is>
      </c>
      <c r="H5" s="9" t="inlineStr">
        <is>
          <t>pesoTotal(…, 3)
PQ730 Armenia 2.3
return 2.3 + pesoTotal(…, 4)</t>
        </is>
      </c>
      <c r="I5" s="19" t="inlineStr">
        <is>
          <t>pesoTotal(…, 3)
return 2.3 + 0.0 = 2.3</t>
        </is>
      </c>
      <c r="J5" s="18" t="n"/>
      <c r="K5" s="18" t="n"/>
      <c r="L5" s="18" t="n"/>
      <c r="M5" s="18" t="n"/>
    </row>
    <row r="6" ht="61.95" customHeight="1">
      <c r="B6" s="18" t="n"/>
      <c r="C6" s="18" t="n"/>
      <c r="D6" s="18" t="n"/>
      <c r="E6" s="9" t="inlineStr">
        <is>
          <t>pesoTotal(…, 2)
PQ415 Armenia 7.2
return 7.2 + pesoTotal(…, 3)</t>
        </is>
      </c>
      <c r="F6" s="9" t="inlineStr">
        <is>
          <t>pesoTotal(…, 2)
PQ415 Armenia 7.2
return 7.2 + pesoTotal(…, 3)</t>
        </is>
      </c>
      <c r="G6" s="9" t="inlineStr">
        <is>
          <t>pesoTotal(…, 2)
PQ415 Armenia 7.2
return 7.2 + pesoTotal(…, 3)</t>
        </is>
      </c>
      <c r="H6" s="9" t="inlineStr">
        <is>
          <t>pesoTotal(…, 2)
PQ415 Armenia 7.2
return 7.2 + pesoTotal(…, 3)</t>
        </is>
      </c>
      <c r="I6" s="9" t="inlineStr">
        <is>
          <t>pesoTotal(…, 2)
PQ415 Armenia 7.2
return 7.2 + pesoTotal(…, 3)</t>
        </is>
      </c>
      <c r="J6" s="19" t="inlineStr">
        <is>
          <t>pesoTotal(…, 2)
return 7.2 + 2.3 = 9.5</t>
        </is>
      </c>
      <c r="K6" s="18" t="n"/>
      <c r="L6" s="18" t="n"/>
      <c r="M6" s="18" t="n"/>
    </row>
    <row r="7" ht="61.95" customHeight="1">
      <c r="B7" s="18" t="n"/>
      <c r="C7" s="18" t="n"/>
      <c r="D7" s="9" t="inlineStr">
        <is>
          <t>pesoTotal(…, 1)
PQ203 Salento 3.0
return 0.0 + pesoTotal(…, 2)</t>
        </is>
      </c>
      <c r="E7" s="9" t="inlineStr">
        <is>
          <t>pesoTotal(…, 1)
PQ203 Salento 3.0
return 0.0 + pesoTotal(…, 2)</t>
        </is>
      </c>
      <c r="F7" s="9" t="inlineStr">
        <is>
          <t>pesoTotal(…, 1)
PQ203 Salento 3.0
return 0.0 + pesoTotal(…, 2)</t>
        </is>
      </c>
      <c r="G7" s="9" t="inlineStr">
        <is>
          <t>pesoTotal(…, 1)
PQ203 Salento 3.0
return 0.0 + pesoTotal(…, 2)</t>
        </is>
      </c>
      <c r="H7" s="9" t="inlineStr">
        <is>
          <t>pesoTotal(…, 1)
PQ203 Salento 3.0
return 0.0 + pesoTotal(…, 2)</t>
        </is>
      </c>
      <c r="I7" s="9" t="inlineStr">
        <is>
          <t>pesoTotal(…, 1)
PQ203 Salento 3.0
return 0.0 + pesoTotal(…, 2)</t>
        </is>
      </c>
      <c r="J7" s="9" t="inlineStr">
        <is>
          <t>pesoTotal(…, 1)
PQ203 Salento 3.0
return 0.0 + pesoTotal(…, 2)</t>
        </is>
      </c>
      <c r="K7" s="19" t="inlineStr">
        <is>
          <t>pesoTotal(…, 1)
return 0.0 + 9.5 = 9.5</t>
        </is>
      </c>
      <c r="L7" s="18" t="n"/>
      <c r="M7" s="18" t="n"/>
    </row>
    <row r="8" ht="61.95" customHeight="1">
      <c r="B8" s="18" t="n"/>
      <c r="C8" s="9" t="inlineStr">
        <is>
          <t>pesoTotal(…, 0)
PQ101 Armenia 4.5
return 4.5 + pesoTotal(…, 1)</t>
        </is>
      </c>
      <c r="D8" s="9" t="inlineStr">
        <is>
          <t>pesoTotal(…, 0)
PQ101 Armenia 4.5
return 4.5 + pesoTotal(…, 1)</t>
        </is>
      </c>
      <c r="E8" s="9" t="inlineStr">
        <is>
          <t>pesoTotal(…, 0)
PQ101 Armenia 4.5
return 4.5 + pesoTotal(…, 1)</t>
        </is>
      </c>
      <c r="F8" s="9" t="inlineStr">
        <is>
          <t>pesoTotal(…, 0)
PQ101 Armenia 4.5
return 4.5 + pesoTotal(…, 1)</t>
        </is>
      </c>
      <c r="G8" s="9" t="inlineStr">
        <is>
          <t>pesoTotal(…, 0)
PQ101 Armenia 4.5
return 4.5 + pesoTotal(…, 1)</t>
        </is>
      </c>
      <c r="H8" s="9" t="inlineStr">
        <is>
          <t>pesoTotal(…, 0)
PQ101 Armenia 4.5
return 4.5 + pesoTotal(…, 1)</t>
        </is>
      </c>
      <c r="I8" s="9" t="inlineStr">
        <is>
          <t>pesoTotal(…, 0)
PQ101 Armenia 4.5
return 4.5 + pesoTotal(…, 1)</t>
        </is>
      </c>
      <c r="J8" s="9" t="inlineStr">
        <is>
          <t>pesoTotal(…, 0)
PQ101 Armenia 4.5
return 4.5 + pesoTotal(…, 1)</t>
        </is>
      </c>
      <c r="K8" s="9" t="inlineStr">
        <is>
          <t>pesoTotal(…, 0)
PQ101 Armenia 4.5
return 4.5 + pesoTotal(…, 1)</t>
        </is>
      </c>
      <c r="L8" s="19" t="inlineStr">
        <is>
          <t>pesoTotal(…, 0)
return 4.5 + 9.5 = 14.0</t>
        </is>
      </c>
      <c r="M8" s="18" t="n"/>
    </row>
    <row r="9" ht="61.95" customHeight="1">
      <c r="B9" s="20" t="inlineStr">
        <is>
          <t>main
lista = PQ101, PQ203, PQ415, PQ730
pesoTotalPorMunicipio(lista, "Armenia")</t>
        </is>
      </c>
      <c r="C9" s="20" t="inlineStr">
        <is>
          <t>main
lista = PQ101, PQ203, PQ415, PQ730
pesoTotalPorMunicipio(lista, "Armenia")</t>
        </is>
      </c>
      <c r="D9" s="20" t="inlineStr">
        <is>
          <t>main
lista = PQ101, PQ203, PQ415, PQ730
pesoTotalPorMunicipio(lista, "Armenia")</t>
        </is>
      </c>
      <c r="E9" s="20" t="inlineStr">
        <is>
          <t>main
lista = PQ101, PQ203, PQ415, PQ730
pesoTotalPorMunicipio(lista, "Armenia")</t>
        </is>
      </c>
      <c r="F9" s="20" t="inlineStr">
        <is>
          <t>main
lista = PQ101, PQ203, PQ415, PQ730
pesoTotalPorMunicipio(lista, "Armenia")</t>
        </is>
      </c>
      <c r="G9" s="20" t="inlineStr">
        <is>
          <t>main
lista = PQ101, PQ203, PQ415, PQ730
pesoTotalPorMunicipio(lista, "Armenia")</t>
        </is>
      </c>
      <c r="H9" s="20" t="inlineStr">
        <is>
          <t>main
lista = PQ101, PQ203, PQ415, PQ730
pesoTotalPorMunicipio(lista, "Armenia")</t>
        </is>
      </c>
      <c r="I9" s="20" t="inlineStr">
        <is>
          <t>main
lista = PQ101, PQ203, PQ415, PQ730
pesoTotalPorMunicipio(lista, "Armenia")</t>
        </is>
      </c>
      <c r="J9" s="20" t="inlineStr">
        <is>
          <t>main
lista = PQ101, PQ203, PQ415, PQ730
pesoTotalPorMunicipio(lista, "Armenia")</t>
        </is>
      </c>
      <c r="K9" s="20" t="inlineStr">
        <is>
          <t>main
lista = PQ101, PQ203, PQ415, PQ730
pesoTotalPorMunicipio(lista, "Armenia")</t>
        </is>
      </c>
      <c r="L9" s="20" t="inlineStr">
        <is>
          <t>main
lista = PQ101, PQ203, PQ415, PQ730
pesoTotalPorMunicipio(lista, "Armenia")</t>
        </is>
      </c>
      <c r="M9" s="20" t="inlineStr">
        <is>
          <t>main
resultado = 14.0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5" sqref="A15"/>
    </sheetView>
  </sheetViews>
  <sheetFormatPr baseColWidth="10" defaultColWidth="8.88671875" defaultRowHeight="14.4"/>
  <cols>
    <col width="88.77734375" customWidth="1" min="1" max="1"/>
    <col width="13" customWidth="1" min="2" max="2"/>
    <col width="26" customWidth="1" min="3" max="3"/>
    <col width="13" customWidth="1" min="4" max="4"/>
    <col width="14" customWidth="1" min="5" max="5"/>
    <col width="13" customWidth="1" min="6" max="6"/>
    <col width="18" customWidth="1" min="7" max="7"/>
    <col width="24" customWidth="1" min="8" max="8"/>
    <col width="30" customWidth="1" min="9" max="9"/>
    <col width="20" customWidth="1" min="10" max="10"/>
  </cols>
  <sheetData>
    <row r="1">
      <c r="A1" t="inlineStr">
        <is>
          <t>contarPrioridadMinima - prueba de escritorio</t>
        </is>
      </c>
    </row>
    <row r="3">
      <c r="B3" s="23" t="inlineStr">
        <is>
          <t>Datos (lista paquetes)</t>
        </is>
      </c>
      <c r="C3" s="25" t="n"/>
    </row>
    <row r="4" ht="26.4" customHeight="1">
      <c r="B4" s="26" t="inlineStr">
        <is>
          <t>indice</t>
        </is>
      </c>
      <c r="C4" s="26" t="inlineStr">
        <is>
          <t>prioridad</t>
        </is>
      </c>
      <c r="D4" s="27" t="n"/>
      <c r="E4" s="26" t="inlineStr">
        <is>
          <t>prioridadMinima</t>
        </is>
      </c>
      <c r="F4" s="26" t="inlineStr">
        <is>
          <t>paquetes.size()</t>
        </is>
      </c>
      <c r="G4" s="27" t="n"/>
      <c r="H4" s="27" t="n"/>
      <c r="I4" s="27" t="n"/>
      <c r="J4" s="27" t="n"/>
      <c r="K4" s="27" t="n"/>
      <c r="L4" s="27" t="n"/>
    </row>
    <row r="5">
      <c r="B5" s="28" t="n">
        <v>0</v>
      </c>
      <c r="C5" s="29" t="n">
        <v>5</v>
      </c>
      <c r="D5" s="27" t="n"/>
      <c r="E5" s="29" t="n">
        <v>4</v>
      </c>
      <c r="F5" s="28">
        <f>COUNT(C5:C9)</f>
        <v/>
      </c>
      <c r="G5" s="27" t="n"/>
      <c r="H5" s="27" t="n"/>
      <c r="I5" s="27" t="n"/>
      <c r="J5" s="27" t="n"/>
      <c r="K5" s="27" t="n"/>
      <c r="L5" s="27" t="n"/>
    </row>
    <row r="6">
      <c r="B6" s="28" t="n">
        <v>1</v>
      </c>
      <c r="C6" s="29" t="n">
        <v>2</v>
      </c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>
      <c r="B7" s="28" t="n">
        <v>2</v>
      </c>
      <c r="C7" s="29" t="n">
        <v>4</v>
      </c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>
      <c r="B8" s="28" t="n">
        <v>3</v>
      </c>
      <c r="C8" s="29" t="n">
        <v>1</v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>
      <c r="B9" s="28" t="n">
        <v>4</v>
      </c>
      <c r="C9" s="29" t="n">
        <v>5</v>
      </c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>
      <c r="B10" s="30" t="n"/>
      <c r="C10" s="30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>
      <c r="B11" s="30" t="n"/>
      <c r="C11" s="30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45" customHeight="1">
      <c r="B15" s="26" t="inlineStr">
        <is>
          <t>Ej</t>
        </is>
      </c>
      <c r="C15" s="26" t="inlineStr">
        <is>
          <t>llamada</t>
        </is>
      </c>
      <c r="D15" s="26" t="inlineStr">
        <is>
          <t>int indice</t>
        </is>
      </c>
      <c r="E15" s="26" t="inlineStr">
        <is>
          <t>indice == size</t>
        </is>
      </c>
      <c r="F15" s="26" t="inlineStr">
        <is>
          <t>return 0</t>
        </is>
      </c>
      <c r="G15" s="26" t="inlineStr">
        <is>
          <t>prioridad = get(indice)</t>
        </is>
      </c>
      <c r="H15" s="26" t="inlineStr">
        <is>
          <t>aporte = prioridad &gt;= minima ? 1 : 0</t>
        </is>
      </c>
      <c r="I15" s="26" t="inlineStr">
        <is>
          <t>llamada recursiva pendiente</t>
        </is>
      </c>
      <c r="J15" s="26" t="inlineStr">
        <is>
          <t>return aporte + resto</t>
        </is>
      </c>
      <c r="K15" s="27" t="n"/>
      <c r="L15" s="27" t="n"/>
    </row>
    <row r="16" ht="26.4" customHeight="1">
      <c r="B16" s="28" t="n">
        <v>1</v>
      </c>
      <c r="C16" s="28" t="inlineStr">
        <is>
          <t>contar(paquetes, 4, 0)</t>
        </is>
      </c>
      <c r="D16" s="28" t="n">
        <v>0</v>
      </c>
      <c r="E16" s="28">
        <f>IF(D16=$F$5,"0==5? V","0==5? F")</f>
        <v/>
      </c>
      <c r="F16" s="28" t="inlineStr">
        <is>
          <t>-</t>
        </is>
      </c>
      <c r="G16" s="28">
        <f>C5</f>
        <v/>
      </c>
      <c r="H16" s="28">
        <f>IF(G16&gt;=$E$5,1,0)</f>
        <v/>
      </c>
      <c r="I16" s="28" t="inlineStr">
        <is>
          <t>contar(paquetes, 4, 1)</t>
        </is>
      </c>
      <c r="J16" s="31">
        <f>H16+J17</f>
        <v/>
      </c>
      <c r="K16" s="27" t="n"/>
      <c r="L16" s="27" t="n"/>
    </row>
    <row r="17" ht="26.4" customHeight="1">
      <c r="B17" s="28" t="n">
        <v>2</v>
      </c>
      <c r="C17" s="28" t="inlineStr">
        <is>
          <t>contar(paquetes, 4, 1)</t>
        </is>
      </c>
      <c r="D17" s="28" t="n">
        <v>1</v>
      </c>
      <c r="E17" s="28">
        <f>IF(D17=$F$5,"1==5? V","1==5? F")</f>
        <v/>
      </c>
      <c r="F17" s="28" t="inlineStr">
        <is>
          <t>-</t>
        </is>
      </c>
      <c r="G17" s="28">
        <f>C6</f>
        <v/>
      </c>
      <c r="H17" s="28">
        <f>IF(G17&gt;=$E$5,1,0)</f>
        <v/>
      </c>
      <c r="I17" s="28" t="inlineStr">
        <is>
          <t>contar(paquetes, 4, 2)</t>
        </is>
      </c>
      <c r="J17" s="31">
        <f>H17+J18</f>
        <v/>
      </c>
      <c r="K17" s="27" t="n"/>
      <c r="L17" s="27" t="n"/>
    </row>
    <row r="18" ht="26.4" customHeight="1">
      <c r="B18" s="28" t="n">
        <v>3</v>
      </c>
      <c r="C18" s="28" t="inlineStr">
        <is>
          <t>contar(paquetes, 4, 2)</t>
        </is>
      </c>
      <c r="D18" s="28" t="n">
        <v>2</v>
      </c>
      <c r="E18" s="28">
        <f>IF(D18=$F$5,"2==5? V","2==5? F")</f>
        <v/>
      </c>
      <c r="F18" s="28" t="inlineStr">
        <is>
          <t>-</t>
        </is>
      </c>
      <c r="G18" s="28">
        <f>C7</f>
        <v/>
      </c>
      <c r="H18" s="28">
        <f>IF(G18&gt;=$E$5,1,0)</f>
        <v/>
      </c>
      <c r="I18" s="28" t="inlineStr">
        <is>
          <t>contar(paquetes, 4, 3)</t>
        </is>
      </c>
      <c r="J18" s="31">
        <f>H18+J19</f>
        <v/>
      </c>
      <c r="K18" s="27" t="n"/>
      <c r="L18" s="27" t="n"/>
    </row>
    <row r="19" ht="26.4" customHeight="1">
      <c r="B19" s="28" t="n">
        <v>4</v>
      </c>
      <c r="C19" s="28" t="inlineStr">
        <is>
          <t>contar(paquetes, 4, 3)</t>
        </is>
      </c>
      <c r="D19" s="28" t="n">
        <v>3</v>
      </c>
      <c r="E19" s="28">
        <f>IF(D19=$F$5,"3==5? V","3==5? F")</f>
        <v/>
      </c>
      <c r="F19" s="28" t="inlineStr">
        <is>
          <t>-</t>
        </is>
      </c>
      <c r="G19" s="28">
        <f>C8</f>
        <v/>
      </c>
      <c r="H19" s="28">
        <f>IF(G19&gt;=$E$5,1,0)</f>
        <v/>
      </c>
      <c r="I19" s="28" t="inlineStr">
        <is>
          <t>contar(paquetes, 4, 4)</t>
        </is>
      </c>
      <c r="J19" s="31">
        <f>H19+J20</f>
        <v/>
      </c>
      <c r="K19" s="27" t="n"/>
      <c r="L19" s="27" t="n"/>
    </row>
    <row r="20" ht="26.4" customHeight="1">
      <c r="B20" s="28" t="n">
        <v>5</v>
      </c>
      <c r="C20" s="28" t="inlineStr">
        <is>
          <t>contar(paquetes, 4, 4)</t>
        </is>
      </c>
      <c r="D20" s="28" t="n">
        <v>4</v>
      </c>
      <c r="E20" s="28">
        <f>IF(D20=$F$5,"4==5? V","4==5? F")</f>
        <v/>
      </c>
      <c r="F20" s="28" t="inlineStr">
        <is>
          <t>-</t>
        </is>
      </c>
      <c r="G20" s="28">
        <f>C9</f>
        <v/>
      </c>
      <c r="H20" s="28">
        <f>IF(G20&gt;=$E$5,1,0)</f>
        <v/>
      </c>
      <c r="I20" s="28" t="inlineStr">
        <is>
          <t>contar(paquetes, 4, 5)</t>
        </is>
      </c>
      <c r="J20" s="31">
        <f>H20+J21</f>
        <v/>
      </c>
      <c r="K20" s="27" t="n"/>
      <c r="L20" s="27" t="n"/>
    </row>
    <row r="21" ht="26.4" customHeight="1">
      <c r="B21" s="32" t="n">
        <v>6</v>
      </c>
      <c r="C21" s="32" t="inlineStr">
        <is>
          <t>contar(paquetes, 4, 5)</t>
        </is>
      </c>
      <c r="D21" s="32" t="n">
        <v>5</v>
      </c>
      <c r="E21" s="32">
        <f>IF(D21=$F$5,"5==5? V","5==5? F")</f>
        <v/>
      </c>
      <c r="F21" s="32" t="n">
        <v>0</v>
      </c>
      <c r="G21" s="32" t="inlineStr">
        <is>
          <t>-</t>
        </is>
      </c>
      <c r="H21" s="32" t="inlineStr">
        <is>
          <t>-</t>
        </is>
      </c>
      <c r="I21" s="32" t="inlineStr">
        <is>
          <t>-</t>
        </is>
      </c>
      <c r="J21" s="33">
        <f>F21</f>
        <v/>
      </c>
      <c r="K21" s="27" t="n"/>
      <c r="L21" s="27" t="n"/>
    </row>
    <row r="22">
      <c r="B22" s="30" t="n"/>
      <c r="C22" s="30" t="n"/>
      <c r="D22" s="30" t="n"/>
      <c r="E22" s="30" t="n"/>
      <c r="F22" s="30" t="n"/>
      <c r="G22" s="30" t="n"/>
      <c r="H22" s="30" t="n"/>
      <c r="I22" s="26" t="inlineStr">
        <is>
          <t>Resultado (primera llamada)</t>
        </is>
      </c>
      <c r="J22" s="26">
        <f>J16</f>
        <v/>
      </c>
      <c r="K22" s="27" t="n"/>
      <c r="L22" s="27" t="n"/>
    </row>
    <row r="23"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27" t="n"/>
      <c r="L23" s="27" t="n"/>
    </row>
    <row r="24">
      <c r="B24" s="27" t="n"/>
      <c r="C24" s="27" t="n"/>
      <c r="D24" s="27" t="n"/>
      <c r="E24" s="27" t="n"/>
      <c r="F24" s="27" t="n"/>
      <c r="G24" s="27" t="n"/>
      <c r="H24" s="27" t="n"/>
      <c r="I24" s="30" t="n"/>
      <c r="J24" s="30" t="n"/>
      <c r="K24" s="27" t="n"/>
      <c r="L24" s="27" t="n"/>
    </row>
    <row r="25"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</row>
    <row r="26"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</row>
    <row r="27"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</row>
    <row r="28"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</row>
    <row r="29"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0"/>
  <sheetViews>
    <sheetView topLeftCell="P5" workbookViewId="0">
      <selection activeCell="B1" sqref="B1:B1048576"/>
    </sheetView>
  </sheetViews>
  <sheetFormatPr baseColWidth="10" defaultColWidth="8.88671875" defaultRowHeight="14.4"/>
  <cols>
    <col width="27" customWidth="1" min="3" max="20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</cols>
  <sheetData>
    <row r="1">
      <c r="A1" s="27" t="n"/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</row>
    <row r="3" ht="30" customHeight="1">
      <c r="A3" s="27" t="n"/>
      <c r="B3" s="27" t="n"/>
      <c r="C3" s="26" t="inlineStr">
        <is>
          <t>Paso 0
main</t>
        </is>
      </c>
      <c r="D3" s="26" t="inlineStr">
        <is>
          <t>Paso 1
llama contar(0)</t>
        </is>
      </c>
      <c r="E3" s="26" t="inlineStr">
        <is>
          <t>Paso 2
llama contar(1)</t>
        </is>
      </c>
      <c r="F3" s="26" t="inlineStr">
        <is>
          <t>Paso 3
llama contar(2)</t>
        </is>
      </c>
      <c r="G3" s="26" t="inlineStr">
        <is>
          <t>Paso 4
llama contar(3)</t>
        </is>
      </c>
      <c r="H3" s="26" t="inlineStr">
        <is>
          <t>Paso 5
llama contar(4)</t>
        </is>
      </c>
      <c r="I3" s="26" t="inlineStr">
        <is>
          <t>Paso 6
llama contar(5)</t>
        </is>
      </c>
      <c r="J3" s="26" t="inlineStr">
        <is>
          <t>Paso 7
retorna contar(5)</t>
        </is>
      </c>
      <c r="K3" s="26" t="inlineStr">
        <is>
          <t>Paso 8
retorna contar(4)</t>
        </is>
      </c>
      <c r="L3" s="26" t="inlineStr">
        <is>
          <t>Paso 9
retorna contar(3)</t>
        </is>
      </c>
      <c r="M3" s="26" t="inlineStr">
        <is>
          <t>Paso 10
retorna contar(2)</t>
        </is>
      </c>
      <c r="N3" s="26" t="inlineStr">
        <is>
          <t>Paso 11
retorna contar(1)</t>
        </is>
      </c>
      <c r="O3" s="26" t="inlineStr">
        <is>
          <t>Paso 12
retorna contar(0)</t>
        </is>
      </c>
      <c r="P3" s="26" t="inlineStr">
        <is>
          <t>Paso 13
fin</t>
        </is>
      </c>
      <c r="Q3" s="30" t="n"/>
      <c r="R3" s="30" t="n"/>
      <c r="S3" s="30" t="n"/>
      <c r="T3" s="30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</row>
    <row r="4" ht="61.95" customHeight="1">
      <c r="A4" s="27" t="n"/>
      <c r="B4" s="27" t="n"/>
      <c r="C4" s="34" t="n"/>
      <c r="D4" s="34" t="n"/>
      <c r="E4" s="34" t="n"/>
      <c r="F4" s="34" t="n"/>
      <c r="G4" s="34" t="n"/>
      <c r="H4" s="34" t="n"/>
      <c r="I4" s="32" t="inlineStr">
        <is>
          <t>contar(…, 5)
indice == size
CASO BASE</t>
        </is>
      </c>
      <c r="J4" s="32" t="inlineStr">
        <is>
          <t>contar(…, 5)
CASO BASE
return 0</t>
        </is>
      </c>
      <c r="K4" s="35" t="n"/>
      <c r="L4" s="35" t="n"/>
      <c r="M4" s="34" t="n"/>
      <c r="N4" s="34" t="n"/>
      <c r="O4" s="34" t="n"/>
      <c r="P4" s="34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</row>
    <row r="5" ht="61.95" customHeight="1">
      <c r="A5" s="27" t="n"/>
      <c r="B5" s="27" t="n"/>
      <c r="C5" s="34" t="n"/>
      <c r="D5" s="34" t="n"/>
      <c r="E5" s="34" t="n"/>
      <c r="F5" s="34" t="n"/>
      <c r="G5" s="34" t="n"/>
      <c r="H5" s="28" t="inlineStr">
        <is>
          <t>contar(…, 4)
prioridad 5 &gt;= 4? V
return 1 + contar(…, 5)</t>
        </is>
      </c>
      <c r="I5" s="28" t="inlineStr">
        <is>
          <t>contar(…, 4)
prioridad 5 &gt;= 4? V
return 1 + contar(…, 5)</t>
        </is>
      </c>
      <c r="J5" s="28" t="inlineStr">
        <is>
          <t>contar(…, 4)
prioridad 5 &gt;= 4? V
return 1 + contar(…, 5)</t>
        </is>
      </c>
      <c r="K5" s="36" t="inlineStr">
        <is>
          <t>contar(…, 4)
return 1 + 0 = 1</t>
        </is>
      </c>
      <c r="L5" s="35" t="n"/>
      <c r="M5" s="35" t="n"/>
      <c r="N5" s="34" t="n"/>
      <c r="O5" s="34" t="n"/>
      <c r="P5" s="34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</row>
    <row r="6" ht="61.95" customHeight="1">
      <c r="A6" s="27" t="n"/>
      <c r="B6" s="27" t="n"/>
      <c r="C6" s="34" t="n"/>
      <c r="D6" s="34" t="n"/>
      <c r="E6" s="34" t="n"/>
      <c r="F6" s="34" t="n"/>
      <c r="G6" s="28" t="inlineStr">
        <is>
          <t>contar(…, 3)
prioridad 1 &gt;= 4? F
return 0 + contar(…, 4)</t>
        </is>
      </c>
      <c r="H6" s="28" t="inlineStr">
        <is>
          <t>contar(…, 3)
prioridad 1 &gt;= 4? F
return 0 + contar(…, 4)</t>
        </is>
      </c>
      <c r="I6" s="28" t="inlineStr">
        <is>
          <t>contar(…, 3)
prioridad 1 &gt;= 4? F
return 0 + contar(…, 4)</t>
        </is>
      </c>
      <c r="J6" s="28" t="inlineStr">
        <is>
          <t>contar(…, 3)
prioridad 1 &gt;= 4? F
return 0 + contar(…, 4)</t>
        </is>
      </c>
      <c r="K6" s="28" t="inlineStr">
        <is>
          <t>contar(…, 3)
prioridad 1 &gt;= 4? F
return 0 + contar(…, 4)</t>
        </is>
      </c>
      <c r="L6" s="36" t="inlineStr">
        <is>
          <t>contar(…, 3)
return 0 + 1 = 1</t>
        </is>
      </c>
      <c r="M6" s="35" t="n"/>
      <c r="N6" s="35" t="n"/>
      <c r="O6" s="34" t="n"/>
      <c r="P6" s="34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</row>
    <row r="7" ht="61.95" customHeight="1">
      <c r="A7" s="27" t="n"/>
      <c r="B7" s="27" t="n"/>
      <c r="C7" s="34" t="n"/>
      <c r="D7" s="34" t="n"/>
      <c r="E7" s="34" t="n"/>
      <c r="F7" s="28" t="inlineStr">
        <is>
          <t>contar(…, 2)
prioridad 4 &gt;= 4? V
return 1 + contar(…, 3)</t>
        </is>
      </c>
      <c r="G7" s="28" t="inlineStr">
        <is>
          <t>contar(…, 2)
prioridad 4 &gt;= 4? V
return 1 + contar(…, 3)</t>
        </is>
      </c>
      <c r="H7" s="28" t="inlineStr">
        <is>
          <t>contar(…, 2)
prioridad 4 &gt;= 4? V
return 1 + contar(…, 3)</t>
        </is>
      </c>
      <c r="I7" s="28" t="inlineStr">
        <is>
          <t>contar(…, 2)
prioridad 4 &gt;= 4? V
return 1 + contar(…, 3)</t>
        </is>
      </c>
      <c r="J7" s="28" t="inlineStr">
        <is>
          <t>contar(…, 2)
prioridad 4 &gt;= 4? V
return 1 + contar(…, 3)</t>
        </is>
      </c>
      <c r="K7" s="28" t="inlineStr">
        <is>
          <t>contar(…, 2)
prioridad 4 &gt;= 4? V
return 1 + contar(…, 3)</t>
        </is>
      </c>
      <c r="L7" s="28" t="inlineStr">
        <is>
          <t>contar(…, 2)
prioridad 4 &gt;= 4? V
return 1 + contar(…, 3)</t>
        </is>
      </c>
      <c r="M7" s="36" t="inlineStr">
        <is>
          <t>contar(…, 2)
return 1 + 1 = 2</t>
        </is>
      </c>
      <c r="N7" s="35" t="n"/>
      <c r="O7" s="35" t="n"/>
      <c r="P7" s="34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</row>
    <row r="8" ht="61.95" customHeight="1">
      <c r="A8" s="27" t="n"/>
      <c r="B8" s="27" t="n"/>
      <c r="C8" s="34" t="n"/>
      <c r="D8" s="34" t="n"/>
      <c r="E8" s="28" t="inlineStr">
        <is>
          <t>contar(…, 1)
prioridad 2 &gt;= 4? F
return 0 + contar(…, 2)</t>
        </is>
      </c>
      <c r="F8" s="28" t="inlineStr">
        <is>
          <t>contar(…, 1)
prioridad 2 &gt;= 4? F
return 0 + contar(…, 2)</t>
        </is>
      </c>
      <c r="G8" s="28" t="inlineStr">
        <is>
          <t>contar(…, 1)
prioridad 2 &gt;= 4? F
return 0 + contar(…, 2)</t>
        </is>
      </c>
      <c r="H8" s="28" t="inlineStr">
        <is>
          <t>contar(…, 1)
prioridad 2 &gt;= 4? F
return 0 + contar(…, 2)</t>
        </is>
      </c>
      <c r="I8" s="28" t="inlineStr">
        <is>
          <t>contar(…, 1)
prioridad 2 &gt;= 4? F
return 0 + contar(…, 2)</t>
        </is>
      </c>
      <c r="J8" s="28" t="inlineStr">
        <is>
          <t>contar(…, 1)
prioridad 2 &gt;= 4? F
return 0 + contar(…, 2)</t>
        </is>
      </c>
      <c r="K8" s="28" t="inlineStr">
        <is>
          <t>contar(…, 1)
prioridad 2 &gt;= 4? F
return 0 + contar(…, 2)</t>
        </is>
      </c>
      <c r="L8" s="28" t="inlineStr">
        <is>
          <t>contar(…, 1)
prioridad 2 &gt;= 4? F
return 0 + contar(…, 2)</t>
        </is>
      </c>
      <c r="M8" s="28" t="inlineStr">
        <is>
          <t>contar(…, 1)
prioridad 2 &gt;= 4? F
return 0 + contar(…, 2)</t>
        </is>
      </c>
      <c r="N8" s="36" t="inlineStr">
        <is>
          <t>contar(…, 1)
return 0 + 2 = 2</t>
        </is>
      </c>
      <c r="O8" s="35" t="n"/>
      <c r="P8" s="35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</row>
    <row r="9" ht="61.95" customHeight="1">
      <c r="A9" s="27" t="n"/>
      <c r="B9" s="27" t="n"/>
      <c r="C9" s="34" t="n"/>
      <c r="D9" s="28" t="inlineStr">
        <is>
          <t>contar(…, 0)
prioridad 5 &gt;= 4? V
return 1 + contar(…, 1)</t>
        </is>
      </c>
      <c r="E9" s="28" t="inlineStr">
        <is>
          <t>contar(…, 0)
prioridad 5 &gt;= 4? V
return 1 + contar(…, 1)</t>
        </is>
      </c>
      <c r="F9" s="28" t="inlineStr">
        <is>
          <t>contar(…, 0)
prioridad 5 &gt;= 4? V
return 1 + contar(…, 1)</t>
        </is>
      </c>
      <c r="G9" s="28" t="inlineStr">
        <is>
          <t>contar(…, 0)
prioridad 5 &gt;= 4? V
return 1 + contar(…, 1)</t>
        </is>
      </c>
      <c r="H9" s="28" t="inlineStr">
        <is>
          <t>contar(…, 0)
prioridad 5 &gt;= 4? V
return 1 + contar(…, 1)</t>
        </is>
      </c>
      <c r="I9" s="28" t="inlineStr">
        <is>
          <t>contar(…, 0)
prioridad 5 &gt;= 4? V
return 1 + contar(…, 1)</t>
        </is>
      </c>
      <c r="J9" s="28" t="inlineStr">
        <is>
          <t>contar(…, 0)
prioridad 5 &gt;= 4? V
return 1 + contar(…, 1)</t>
        </is>
      </c>
      <c r="K9" s="28" t="inlineStr">
        <is>
          <t>contar(…, 0)
prioridad 5 &gt;= 4? V
return 1 + contar(…, 1)</t>
        </is>
      </c>
      <c r="L9" s="28" t="inlineStr">
        <is>
          <t>contar(…, 0)
prioridad 5 &gt;= 4? V
return 1 + contar(…, 1)</t>
        </is>
      </c>
      <c r="M9" s="28" t="inlineStr">
        <is>
          <t>contar(…, 0)
prioridad 5 &gt;= 4? V
return 1 + contar(…, 1)</t>
        </is>
      </c>
      <c r="N9" s="28" t="inlineStr">
        <is>
          <t>contar(…, 0)
prioridad 5 &gt;= 4? V
return 1 + contar(…, 1)</t>
        </is>
      </c>
      <c r="O9" s="36" t="inlineStr">
        <is>
          <t>contar(…, 0)
return 1 + 2 = 3</t>
        </is>
      </c>
      <c r="P9" s="35" t="n"/>
      <c r="Q9" s="30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</row>
    <row r="10" ht="61.95" customHeight="1">
      <c r="A10" s="27" t="n"/>
      <c r="B10" s="27" t="n"/>
      <c r="C10" s="37" t="inlineStr">
        <is>
          <t>main
prioridades = 5, 2, 4, 1, 5
contarPrioridadMinima(lista, 4)</t>
        </is>
      </c>
      <c r="D10" s="37" t="inlineStr">
        <is>
          <t>main
prioridades = 5, 2, 4, 1, 5
contarPrioridadMinima(lista, 4)</t>
        </is>
      </c>
      <c r="E10" s="37" t="inlineStr">
        <is>
          <t>main
prioridades = 5, 2, 4, 1, 5
contarPrioridadMinima(lista, 4)</t>
        </is>
      </c>
      <c r="F10" s="37" t="inlineStr">
        <is>
          <t>main
prioridades = 5, 2, 4, 1, 5
contarPrioridadMinima(lista, 4)</t>
        </is>
      </c>
      <c r="G10" s="37" t="inlineStr">
        <is>
          <t>main
prioridades = 5, 2, 4, 1, 5
contarPrioridadMinima(lista, 4)</t>
        </is>
      </c>
      <c r="H10" s="37" t="inlineStr">
        <is>
          <t>main
prioridades = 5, 2, 4, 1, 5
contarPrioridadMinima(lista, 4)</t>
        </is>
      </c>
      <c r="I10" s="37" t="inlineStr">
        <is>
          <t>main
prioridades = 5, 2, 4, 1, 5
contarPrioridadMinima(lista, 4)</t>
        </is>
      </c>
      <c r="J10" s="37" t="inlineStr">
        <is>
          <t>main
prioridades = 5, 2, 4, 1, 5
contarPrioridadMinima(lista, 4)</t>
        </is>
      </c>
      <c r="K10" s="37" t="inlineStr">
        <is>
          <t>main
prioridades = 5, 2, 4, 1, 5
contarPrioridadMinima(lista, 4)</t>
        </is>
      </c>
      <c r="L10" s="37" t="inlineStr">
        <is>
          <t>main
prioridades = 5, 2, 4, 1, 5
contarPrioridadMinima(lista, 4)</t>
        </is>
      </c>
      <c r="M10" s="37" t="inlineStr">
        <is>
          <t>main
prioridades = 5, 2, 4, 1, 5
contarPrioridadMinima(lista, 4)</t>
        </is>
      </c>
      <c r="N10" s="37" t="inlineStr">
        <is>
          <t>main
prioridades = 5, 2, 4, 1, 5
contarPrioridadMinima(lista, 4)</t>
        </is>
      </c>
      <c r="O10" s="37" t="inlineStr">
        <is>
          <t>main
prioridades = 5, 2, 4, 1, 5
contarPrioridadMinima(lista, 4)</t>
        </is>
      </c>
      <c r="P10" s="37" t="inlineStr">
        <is>
          <t>main
resultado = 3</t>
        </is>
      </c>
      <c r="Q10" s="30" t="n"/>
      <c r="R10" s="30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</row>
    <row r="11">
      <c r="A11" s="27" t="n"/>
      <c r="B11" s="27" t="n"/>
      <c r="C11" s="27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</row>
    <row r="12">
      <c r="A12" s="27" t="n"/>
      <c r="B12" s="27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topLeftCell="A6" workbookViewId="0">
      <selection activeCell="A17" sqref="A17"/>
    </sheetView>
  </sheetViews>
  <sheetFormatPr baseColWidth="10" defaultColWidth="8.88671875" defaultRowHeight="14.4"/>
  <cols>
    <col width="80.21875" customWidth="1" min="1" max="1"/>
    <col width="6" customWidth="1" min="2" max="2"/>
    <col width="22" customWidth="1" min="3" max="3"/>
    <col width="9" customWidth="1" min="4" max="5"/>
    <col width="12" customWidth="1" min="6" max="6"/>
    <col width="14" customWidth="1" min="7" max="7"/>
    <col width="16" customWidth="1" min="8" max="8"/>
    <col width="22" customWidth="1" min="9" max="11"/>
    <col width="14" customWidth="1" min="12" max="12"/>
  </cols>
  <sheetData>
    <row r="1">
      <c r="A1" t="inlineStr">
        <is>
          <t>mayorPeso (divide y venceras) - prueba de escritorio</t>
        </is>
      </c>
    </row>
    <row r="3">
      <c r="B3" s="23" t="inlineStr">
        <is>
          <t>Datos (lista paquetes)</t>
        </is>
      </c>
      <c r="C3" s="24" t="n"/>
      <c r="D3" s="25" t="n"/>
    </row>
    <row r="4" ht="26.4" customHeight="1">
      <c r="B4" s="26" t="inlineStr">
        <is>
          <t>indice</t>
        </is>
      </c>
      <c r="C4" s="26" t="inlineStr">
        <is>
          <t>codigo</t>
        </is>
      </c>
      <c r="D4" s="26" t="inlineStr">
        <is>
          <t>peso (kg)</t>
        </is>
      </c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</row>
    <row r="5">
      <c r="B5" s="28" t="n">
        <v>0</v>
      </c>
      <c r="C5" s="29" t="inlineStr">
        <is>
          <t>PQ100</t>
        </is>
      </c>
      <c r="D5" s="38" t="n">
        <v>4.5</v>
      </c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</row>
    <row r="6">
      <c r="B6" s="28" t="n">
        <v>1</v>
      </c>
      <c r="C6" s="29" t="inlineStr">
        <is>
          <t>PQ211</t>
        </is>
      </c>
      <c r="D6" s="38" t="n">
        <v>12</v>
      </c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</row>
    <row r="7">
      <c r="B7" s="28" t="n">
        <v>2</v>
      </c>
      <c r="C7" s="29" t="inlineStr">
        <is>
          <t>PQ322</t>
        </is>
      </c>
      <c r="D7" s="38" t="n">
        <v>3.2</v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</row>
    <row r="8">
      <c r="B8" s="28" t="n">
        <v>3</v>
      </c>
      <c r="C8" s="29" t="inlineStr">
        <is>
          <t>PQ433</t>
        </is>
      </c>
      <c r="D8" s="38" t="n">
        <v>18.7</v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</row>
    <row r="9">
      <c r="B9" s="30" t="n"/>
      <c r="C9" s="30" t="n"/>
      <c r="D9" s="39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</row>
    <row r="10">
      <c r="B10" s="30" t="n"/>
      <c r="C10" s="30" t="n"/>
      <c r="D10" s="39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</row>
    <row r="11"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</row>
    <row r="12"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</row>
    <row r="13"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</row>
    <row r="14" ht="45" customHeight="1">
      <c r="B14" s="26" t="inlineStr">
        <is>
          <t>Ej</t>
        </is>
      </c>
      <c r="C14" s="26" t="inlineStr">
        <is>
          <t>subarreglo (pesos)</t>
        </is>
      </c>
      <c r="D14" s="26" t="inlineStr">
        <is>
          <t>int inicio</t>
        </is>
      </c>
      <c r="E14" s="26" t="inlineStr">
        <is>
          <t>int fin</t>
        </is>
      </c>
      <c r="F14" s="26" t="inlineStr">
        <is>
          <t>inicio == fin</t>
        </is>
      </c>
      <c r="G14" s="26" t="inlineStr">
        <is>
          <t>return get(inicio)</t>
        </is>
      </c>
      <c r="H14" s="26" t="inlineStr">
        <is>
          <t>int medio</t>
        </is>
      </c>
      <c r="I14" s="26" t="inlineStr">
        <is>
          <t>izq = mayorPeso(inicio, medio)</t>
        </is>
      </c>
      <c r="J14" s="26" t="inlineStr">
        <is>
          <t>der = mayorPeso(medio + 1, fin)</t>
        </is>
      </c>
      <c r="K14" s="26" t="inlineStr">
        <is>
          <t>return izq &gt;= der ? izq : der</t>
        </is>
      </c>
      <c r="L14" s="26" t="inlineStr">
        <is>
          <t>codigo retornado</t>
        </is>
      </c>
      <c r="M14" s="27" t="n"/>
    </row>
    <row r="15" ht="26.4" customHeight="1">
      <c r="B15" s="28" t="n">
        <v>1</v>
      </c>
      <c r="C15" s="28" t="inlineStr">
        <is>
          <t>[4.5, 12.0, 3.2, 18.7]</t>
        </is>
      </c>
      <c r="D15" s="28" t="n">
        <v>0</v>
      </c>
      <c r="E15" s="28" t="n">
        <v>3</v>
      </c>
      <c r="F15" s="28">
        <f>D15&amp;"=="&amp;E15&amp;"? "&amp;IF(D15=E15,"V","F")</f>
        <v/>
      </c>
      <c r="G15" s="28" t="inlineStr">
        <is>
          <t>-</t>
        </is>
      </c>
      <c r="H15" s="28">
        <f>D15&amp;"+("&amp;E15&amp;"-"&amp;D15&amp;")/2 = "&amp;(D15+INT((E15-D15)/2))</f>
        <v/>
      </c>
      <c r="I15" s="28">
        <f>"mayorPeso(0,1) [Ej 2] -&gt; "&amp;TEXT(K16,"0.0")</f>
        <v/>
      </c>
      <c r="J15" s="28">
        <f>"mayorPeso(2,3) [Ej 5] -&gt; "&amp;TEXT(K19,"0.0")</f>
        <v/>
      </c>
      <c r="K15" s="40">
        <f>IF(K16&gt;=K19,K16,K19)</f>
        <v/>
      </c>
      <c r="L15" s="28">
        <f>IF(K16&gt;=K19,L16,L19)</f>
        <v/>
      </c>
      <c r="M15" s="27" t="n"/>
    </row>
    <row r="16" ht="26.4" customHeight="1">
      <c r="B16" s="28" t="n">
        <v>2</v>
      </c>
      <c r="C16" s="28" t="inlineStr">
        <is>
          <t>[4.5, 12.0]</t>
        </is>
      </c>
      <c r="D16" s="28" t="n">
        <v>0</v>
      </c>
      <c r="E16" s="28" t="n">
        <v>1</v>
      </c>
      <c r="F16" s="28">
        <f>D16&amp;"=="&amp;E16&amp;"? "&amp;IF(D16=E16,"V","F")</f>
        <v/>
      </c>
      <c r="G16" s="28" t="inlineStr">
        <is>
          <t>-</t>
        </is>
      </c>
      <c r="H16" s="28">
        <f>D16&amp;"+("&amp;E16&amp;"-"&amp;D16&amp;")/2 = "&amp;(D16+INT((E16-D16)/2))</f>
        <v/>
      </c>
      <c r="I16" s="28">
        <f>"mayorPeso(0,0) [Ej 3] -&gt; "&amp;TEXT(K17,"0.0")</f>
        <v/>
      </c>
      <c r="J16" s="28">
        <f>"mayorPeso(1,1) [Ej 4] -&gt; "&amp;TEXT(K18,"0.0")</f>
        <v/>
      </c>
      <c r="K16" s="40">
        <f>IF(K17&gt;=K18,K17,K18)</f>
        <v/>
      </c>
      <c r="L16" s="28">
        <f>IF(K17&gt;=K18,L17,L18)</f>
        <v/>
      </c>
      <c r="M16" s="27" t="n"/>
    </row>
    <row r="17" ht="26.4" customHeight="1">
      <c r="B17" s="32" t="n">
        <v>3</v>
      </c>
      <c r="C17" s="32" t="inlineStr">
        <is>
          <t>[4.5]</t>
        </is>
      </c>
      <c r="D17" s="32" t="n">
        <v>0</v>
      </c>
      <c r="E17" s="32" t="n">
        <v>0</v>
      </c>
      <c r="F17" s="32">
        <f>D17&amp;"=="&amp;E17&amp;"? "&amp;IF(D17=E17,"V","F")</f>
        <v/>
      </c>
      <c r="G17" s="41">
        <f>INDEX($D$5:$D$8,D17+1)</f>
        <v/>
      </c>
      <c r="H17" s="32" t="inlineStr">
        <is>
          <t>-</t>
        </is>
      </c>
      <c r="I17" s="32" t="inlineStr">
        <is>
          <t>-</t>
        </is>
      </c>
      <c r="J17" s="32" t="inlineStr">
        <is>
          <t>-</t>
        </is>
      </c>
      <c r="K17" s="42">
        <f>G17</f>
        <v/>
      </c>
      <c r="L17" s="32">
        <f>INDEX($C$5:$C$8,D17+1)</f>
        <v/>
      </c>
      <c r="M17" s="27" t="n"/>
    </row>
    <row r="18" ht="26.4" customHeight="1">
      <c r="B18" s="32" t="n">
        <v>4</v>
      </c>
      <c r="C18" s="32" t="inlineStr">
        <is>
          <t>[12.0]</t>
        </is>
      </c>
      <c r="D18" s="32" t="n">
        <v>1</v>
      </c>
      <c r="E18" s="32" t="n">
        <v>1</v>
      </c>
      <c r="F18" s="32">
        <f>D18&amp;"=="&amp;E18&amp;"? "&amp;IF(D18=E18,"V","F")</f>
        <v/>
      </c>
      <c r="G18" s="41">
        <f>INDEX($D$5:$D$8,D18+1)</f>
        <v/>
      </c>
      <c r="H18" s="32" t="inlineStr">
        <is>
          <t>-</t>
        </is>
      </c>
      <c r="I18" s="32" t="inlineStr">
        <is>
          <t>-</t>
        </is>
      </c>
      <c r="J18" s="32" t="inlineStr">
        <is>
          <t>-</t>
        </is>
      </c>
      <c r="K18" s="42">
        <f>G18</f>
        <v/>
      </c>
      <c r="L18" s="32">
        <f>INDEX($C$5:$C$8,D18+1)</f>
        <v/>
      </c>
      <c r="M18" s="27" t="n"/>
    </row>
    <row r="19" ht="26.4" customHeight="1">
      <c r="B19" s="28" t="n">
        <v>5</v>
      </c>
      <c r="C19" s="28" t="inlineStr">
        <is>
          <t>[3.2, 18.7]</t>
        </is>
      </c>
      <c r="D19" s="28" t="n">
        <v>2</v>
      </c>
      <c r="E19" s="28" t="n">
        <v>3</v>
      </c>
      <c r="F19" s="28">
        <f>D19&amp;"=="&amp;E19&amp;"? "&amp;IF(D19=E19,"V","F")</f>
        <v/>
      </c>
      <c r="G19" s="43" t="inlineStr">
        <is>
          <t>-</t>
        </is>
      </c>
      <c r="H19" s="28">
        <f>D19&amp;"+("&amp;E19&amp;"-"&amp;D19&amp;")/2 = "&amp;(D19+INT((E19-D19)/2))</f>
        <v/>
      </c>
      <c r="I19" s="28">
        <f>"mayorPeso(2,2) [Ej 6] -&gt; "&amp;TEXT(K20,"0.0")</f>
        <v/>
      </c>
      <c r="J19" s="28">
        <f>"mayorPeso(3,3) [Ej 7] -&gt; "&amp;TEXT(K21,"0.0")</f>
        <v/>
      </c>
      <c r="K19" s="40">
        <f>IF(K20&gt;=K21,K20,K21)</f>
        <v/>
      </c>
      <c r="L19" s="28">
        <f>IF(K20&gt;=K21,L20,L21)</f>
        <v/>
      </c>
      <c r="M19" s="27" t="n"/>
    </row>
    <row r="20" ht="26.4" customHeight="1">
      <c r="B20" s="32" t="n">
        <v>6</v>
      </c>
      <c r="C20" s="32" t="inlineStr">
        <is>
          <t>[3.2]</t>
        </is>
      </c>
      <c r="D20" s="32" t="n">
        <v>2</v>
      </c>
      <c r="E20" s="32" t="n">
        <v>2</v>
      </c>
      <c r="F20" s="32">
        <f>D20&amp;"=="&amp;E20&amp;"? "&amp;IF(D20=E20,"V","F")</f>
        <v/>
      </c>
      <c r="G20" s="41">
        <f>INDEX($D$5:$D$8,D20+1)</f>
        <v/>
      </c>
      <c r="H20" s="32" t="inlineStr">
        <is>
          <t>-</t>
        </is>
      </c>
      <c r="I20" s="32" t="inlineStr">
        <is>
          <t>-</t>
        </is>
      </c>
      <c r="J20" s="32" t="inlineStr">
        <is>
          <t>-</t>
        </is>
      </c>
      <c r="K20" s="42">
        <f>G20</f>
        <v/>
      </c>
      <c r="L20" s="32">
        <f>INDEX($C$5:$C$8,D20+1)</f>
        <v/>
      </c>
      <c r="M20" s="27" t="n"/>
    </row>
    <row r="21" ht="26.4" customHeight="1">
      <c r="B21" s="32" t="n">
        <v>7</v>
      </c>
      <c r="C21" s="32" t="inlineStr">
        <is>
          <t>[18.7]</t>
        </is>
      </c>
      <c r="D21" s="32" t="n">
        <v>3</v>
      </c>
      <c r="E21" s="32" t="n">
        <v>3</v>
      </c>
      <c r="F21" s="32">
        <f>D21&amp;"=="&amp;E21&amp;"? "&amp;IF(D21=E21,"V","F")</f>
        <v/>
      </c>
      <c r="G21" s="41">
        <f>INDEX($D$5:$D$8,D21+1)</f>
        <v/>
      </c>
      <c r="H21" s="32" t="inlineStr">
        <is>
          <t>-</t>
        </is>
      </c>
      <c r="I21" s="32" t="inlineStr">
        <is>
          <t>-</t>
        </is>
      </c>
      <c r="J21" s="32" t="inlineStr">
        <is>
          <t>-</t>
        </is>
      </c>
      <c r="K21" s="42">
        <f>G21</f>
        <v/>
      </c>
      <c r="L21" s="32">
        <f>INDEX($C$5:$C$8,D21+1)</f>
        <v/>
      </c>
      <c r="M21" s="27" t="n"/>
    </row>
    <row r="22" ht="26.4" customHeight="1">
      <c r="B22" s="30" t="n"/>
      <c r="C22" s="30" t="n"/>
      <c r="D22" s="30" t="n"/>
      <c r="E22" s="30" t="n"/>
      <c r="F22" s="30" t="n"/>
      <c r="G22" s="30" t="n"/>
      <c r="H22" s="30" t="n"/>
      <c r="I22" s="30" t="n"/>
      <c r="J22" s="26" t="inlineStr">
        <is>
          <t>Resultado (primera llamada)</t>
        </is>
      </c>
      <c r="K22" s="44">
        <f>K15</f>
        <v/>
      </c>
      <c r="L22" s="26">
        <f>L15</f>
        <v/>
      </c>
      <c r="M22" s="27" t="n"/>
    </row>
    <row r="23">
      <c r="B23" s="30" t="n"/>
      <c r="C23" s="30" t="n"/>
      <c r="D23" s="30" t="n"/>
      <c r="E23" s="30" t="n"/>
      <c r="F23" s="30" t="n"/>
      <c r="G23" s="39" t="n"/>
      <c r="H23" s="30" t="n"/>
      <c r="I23" s="30" t="n"/>
      <c r="J23" s="30" t="n"/>
      <c r="K23" s="39" t="n"/>
      <c r="L23" s="30" t="n"/>
      <c r="M23" s="27" t="n"/>
    </row>
    <row r="24">
      <c r="B24" s="30" t="n"/>
      <c r="C24" s="30" t="n"/>
      <c r="D24" s="30" t="n"/>
      <c r="E24" s="30" t="n"/>
      <c r="F24" s="30" t="n"/>
      <c r="G24" s="39" t="n"/>
      <c r="H24" s="30" t="n"/>
      <c r="I24" s="30" t="n"/>
      <c r="J24" s="30" t="n"/>
      <c r="K24" s="39" t="n"/>
      <c r="L24" s="30" t="n"/>
      <c r="M24" s="27" t="n"/>
    </row>
    <row r="25">
      <c r="B25" s="30" t="n"/>
      <c r="C25" s="30" t="n"/>
      <c r="D25" s="30" t="n"/>
      <c r="E25" s="30" t="n"/>
      <c r="F25" s="30" t="n"/>
      <c r="G25" s="39" t="n"/>
      <c r="H25" s="30" t="n"/>
      <c r="I25" s="30" t="n"/>
      <c r="J25" s="30" t="n"/>
      <c r="K25" s="39" t="n"/>
      <c r="L25" s="30" t="n"/>
      <c r="M25" s="27" t="n"/>
    </row>
    <row r="26" ht="26.4" customHeight="1">
      <c r="B26" s="27" t="n"/>
      <c r="C26" s="27" t="n"/>
      <c r="D26" s="27" t="n"/>
      <c r="E26" s="27" t="n"/>
      <c r="F26" s="27" t="n"/>
      <c r="G26" s="27" t="n"/>
      <c r="H26" s="27" t="n"/>
      <c r="I26" s="27" t="n"/>
      <c r="J26" s="30" t="n"/>
      <c r="K26" s="39" t="n"/>
      <c r="L26" s="30" t="n"/>
      <c r="M26" s="27" t="n"/>
    </row>
    <row r="27"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</row>
    <row r="28"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</row>
    <row r="29"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</row>
    <row r="30"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</row>
  </sheetData>
  <mergeCells count="1">
    <mergeCell ref="B3:D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0"/>
  <sheetViews>
    <sheetView tabSelected="1" workbookViewId="0">
      <selection activeCell="B1" sqref="B1:B1048576"/>
    </sheetView>
  </sheetViews>
  <sheetFormatPr baseColWidth="10" defaultColWidth="8.88671875" defaultRowHeight="14.4"/>
  <cols>
    <col width="27" customWidth="1" min="3" max="20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</cols>
  <sheetData>
    <row r="1">
      <c r="A1" s="27" t="n"/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</row>
    <row r="3" ht="30" customHeight="1">
      <c r="A3" s="27" t="n"/>
      <c r="B3" s="27" t="n"/>
      <c r="C3" s="26" t="inlineStr">
        <is>
          <t>Paso 0
main</t>
        </is>
      </c>
      <c r="D3" s="26" t="inlineStr">
        <is>
          <t>Paso 1
llama (0,3)</t>
        </is>
      </c>
      <c r="E3" s="26" t="inlineStr">
        <is>
          <t>Paso 2
llama (0,1)</t>
        </is>
      </c>
      <c r="F3" s="26" t="inlineStr">
        <is>
          <t>Paso 3
llama (0,0)</t>
        </is>
      </c>
      <c r="G3" s="26" t="inlineStr">
        <is>
          <t>Paso 4
llama (1,1)</t>
        </is>
      </c>
      <c r="H3" s="26" t="inlineStr">
        <is>
          <t>Paso 5
retorna (0,1)</t>
        </is>
      </c>
      <c r="I3" s="26" t="inlineStr">
        <is>
          <t>Paso 6
llama (2,3)</t>
        </is>
      </c>
      <c r="J3" s="26" t="inlineStr">
        <is>
          <t>Paso 7
llama (2,2)</t>
        </is>
      </c>
      <c r="K3" s="26" t="inlineStr">
        <is>
          <t>Paso 8
llama (3,3)</t>
        </is>
      </c>
      <c r="L3" s="26" t="inlineStr">
        <is>
          <t>Paso 9
retorna (2,3)</t>
        </is>
      </c>
      <c r="M3" s="26" t="inlineStr">
        <is>
          <t>Paso 10
retorna (0,3)</t>
        </is>
      </c>
      <c r="N3" s="26" t="inlineStr">
        <is>
          <t>Paso 11
fin</t>
        </is>
      </c>
      <c r="O3" s="30" t="n"/>
      <c r="P3" s="30" t="n"/>
      <c r="Q3" s="30" t="n"/>
      <c r="R3" s="30" t="n"/>
      <c r="S3" s="30" t="n"/>
      <c r="T3" s="30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</row>
    <row r="4" ht="61.95" customHeight="1">
      <c r="A4" s="27" t="n"/>
      <c r="B4" s="27" t="n"/>
      <c r="C4" s="34" t="n"/>
      <c r="D4" s="34" t="n"/>
      <c r="E4" s="34" t="n"/>
      <c r="F4" s="32" t="inlineStr">
        <is>
          <t>mayorPeso(0,0)
inicio == fin
CASO BASE
return 4.5</t>
        </is>
      </c>
      <c r="G4" s="32" t="inlineStr">
        <is>
          <t>mayorPeso(1,1)
inicio == fin
CASO BASE
return 12.0</t>
        </is>
      </c>
      <c r="H4" s="35" t="n"/>
      <c r="I4" s="34" t="n"/>
      <c r="J4" s="32" t="inlineStr">
        <is>
          <t>mayorPeso(2,2)
inicio == fin
CASO BASE
return 3.2</t>
        </is>
      </c>
      <c r="K4" s="32" t="inlineStr">
        <is>
          <t>mayorPeso(3,3)
inicio == fin
CASO BASE
return 18.7</t>
        </is>
      </c>
      <c r="L4" s="34" t="n"/>
      <c r="M4" s="34" t="n"/>
      <c r="N4" s="35" t="n"/>
      <c r="O4" s="30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</row>
    <row r="5" ht="61.95" customHeight="1">
      <c r="A5" s="27" t="n"/>
      <c r="B5" s="27" t="n"/>
      <c r="C5" s="34" t="n"/>
      <c r="D5" s="34" t="n"/>
      <c r="E5" s="28" t="inlineStr">
        <is>
          <t>mayorPeso(0,1)
medio = 0
izq = mayorPeso(0,0)  ...</t>
        </is>
      </c>
      <c r="F5" s="28" t="inlineStr">
        <is>
          <t>mayorPeso(0,1)
medio = 0
izq = mayorPeso(0,0)  ...</t>
        </is>
      </c>
      <c r="G5" s="28" t="inlineStr">
        <is>
          <t>mayorPeso(0,1)
izq = 4.5
der = mayorPeso(1,1)  ...</t>
        </is>
      </c>
      <c r="H5" s="36" t="inlineStr">
        <is>
          <t>mayorPeso(0,1)
izq = 4.5, der = 12.0
return 4.5 &gt;= 12.0? -&gt; 12.0</t>
        </is>
      </c>
      <c r="I5" s="28" t="inlineStr">
        <is>
          <t>mayorPeso(2,3)
medio = 2
izq = mayorPeso(2,2)  ...</t>
        </is>
      </c>
      <c r="J5" s="28" t="inlineStr">
        <is>
          <t>mayorPeso(2,3)
medio = 2
izq = mayorPeso(2,2)  ...</t>
        </is>
      </c>
      <c r="K5" s="28" t="inlineStr">
        <is>
          <t>mayorPeso(2,3)
izq = 3.2
der = mayorPeso(3,3)  ...</t>
        </is>
      </c>
      <c r="L5" s="36" t="inlineStr">
        <is>
          <t>mayorPeso(2,3)
izq = 3.2, der = 18.7
return 3.2 &gt;= 18.7? -&gt; 18.7</t>
        </is>
      </c>
      <c r="M5" s="35" t="n"/>
      <c r="N5" s="35" t="n"/>
      <c r="O5" s="30" t="n"/>
      <c r="P5" s="30" t="n"/>
      <c r="Q5" s="30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</row>
    <row r="6" ht="61.95" customHeight="1">
      <c r="A6" s="27" t="n"/>
      <c r="B6" s="27" t="n"/>
      <c r="C6" s="34" t="n"/>
      <c r="D6" s="28" t="inlineStr">
        <is>
          <t>mayorPeso(0,3)
medio = 1
izq = mayorPeso(0,1)  ...</t>
        </is>
      </c>
      <c r="E6" s="28" t="inlineStr">
        <is>
          <t>mayorPeso(0,3)
medio = 1
izq = mayorPeso(0,1)  ...</t>
        </is>
      </c>
      <c r="F6" s="28" t="inlineStr">
        <is>
          <t>mayorPeso(0,3)
medio = 1
izq = mayorPeso(0,1)  ...</t>
        </is>
      </c>
      <c r="G6" s="28" t="inlineStr">
        <is>
          <t>mayorPeso(0,3)
medio = 1
izq = mayorPeso(0,1)  ...</t>
        </is>
      </c>
      <c r="H6" s="28" t="inlineStr">
        <is>
          <t>mayorPeso(0,3)
medio = 1
izq = mayorPeso(0,1)  ...</t>
        </is>
      </c>
      <c r="I6" s="28" t="inlineStr">
        <is>
          <t>mayorPeso(0,3)
izq = 12.0
der = mayorPeso(2,3)  ...</t>
        </is>
      </c>
      <c r="J6" s="28" t="inlineStr">
        <is>
          <t>mayorPeso(0,3)
izq = 12.0
der = mayorPeso(2,3)  ...</t>
        </is>
      </c>
      <c r="K6" s="28" t="inlineStr">
        <is>
          <t>mayorPeso(0,3)
izq = 12.0
der = mayorPeso(2,3)  ...</t>
        </is>
      </c>
      <c r="L6" s="28" t="inlineStr">
        <is>
          <t>mayorPeso(0,3)
izq = 12.0
der = mayorPeso(2,3)  ...</t>
        </is>
      </c>
      <c r="M6" s="36" t="inlineStr">
        <is>
          <t>mayorPeso(0,3)
izq = 12.0, der = 18.7
return 12.0 &gt;= 18.7? -&gt; 18.7</t>
        </is>
      </c>
      <c r="N6" s="35" t="n"/>
      <c r="O6" s="30" t="n"/>
      <c r="P6" s="30" t="n"/>
      <c r="Q6" s="30" t="n"/>
      <c r="R6" s="30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</row>
    <row r="7" ht="61.95" customHeight="1">
      <c r="A7" s="27" t="n"/>
      <c r="B7" s="27" t="n"/>
      <c r="C7" s="37" t="inlineStr">
        <is>
          <t>main
pesos = 4.5, 12.0, 3.2, 18.7
mayorPeso(lista)</t>
        </is>
      </c>
      <c r="D7" s="37" t="inlineStr">
        <is>
          <t>main
pesos = 4.5, 12.0, 3.2, 18.7
mayorPeso(lista)</t>
        </is>
      </c>
      <c r="E7" s="37" t="inlineStr">
        <is>
          <t>main
pesos = 4.5, 12.0, 3.2, 18.7
mayorPeso(lista)</t>
        </is>
      </c>
      <c r="F7" s="37" t="inlineStr">
        <is>
          <t>main
pesos = 4.5, 12.0, 3.2, 18.7
mayorPeso(lista)</t>
        </is>
      </c>
      <c r="G7" s="37" t="inlineStr">
        <is>
          <t>main
pesos = 4.5, 12.0, 3.2, 18.7
mayorPeso(lista)</t>
        </is>
      </c>
      <c r="H7" s="37" t="inlineStr">
        <is>
          <t>main
pesos = 4.5, 12.0, 3.2, 18.7
mayorPeso(lista)</t>
        </is>
      </c>
      <c r="I7" s="37" t="inlineStr">
        <is>
          <t>main
pesos = 4.5, 12.0, 3.2, 18.7
mayorPeso(lista)</t>
        </is>
      </c>
      <c r="J7" s="37" t="inlineStr">
        <is>
          <t>main
pesos = 4.5, 12.0, 3.2, 18.7
mayorPeso(lista)</t>
        </is>
      </c>
      <c r="K7" s="37" t="inlineStr">
        <is>
          <t>main
pesos = 4.5, 12.0, 3.2, 18.7
mayorPeso(lista)</t>
        </is>
      </c>
      <c r="L7" s="37" t="inlineStr">
        <is>
          <t>main
pesos = 4.5, 12.0, 3.2, 18.7
mayorPeso(lista)</t>
        </is>
      </c>
      <c r="M7" s="37" t="inlineStr">
        <is>
          <t>main
pesos = 4.5, 12.0, 3.2, 18.7
mayorPeso(lista)</t>
        </is>
      </c>
      <c r="N7" s="37" t="inlineStr">
        <is>
          <t>main
resultado = 18.7 kg</t>
        </is>
      </c>
      <c r="O7" s="30" t="n"/>
      <c r="P7" s="30" t="n"/>
      <c r="Q7" s="30" t="n"/>
      <c r="R7" s="30" t="n"/>
      <c r="S7" s="30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</row>
    <row r="8">
      <c r="A8" s="27" t="n"/>
      <c r="B8" s="27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2026-10-09T07:18:15Z</dcterms:created>
  <dcterms:modified xmlns:dcterms="http://purl.org/dc/terms/" xmlns:xsi="http://www.w3.org/2001/XMLSchema-instance" xsi:type="dcterms:W3CDTF">2026-10-11T20:49:04Z</dcterms:modified>
  <cp:lastModifiedBy>Brahian Toro</cp:lastModifiedBy>
</cp:coreProperties>
</file>